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83829B9D-BA47-44BD-8C92-C6130BA094D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xo1 - regression simple" sheetId="2" r:id="rId1"/>
    <sheet name="Exo2. regression multiple" sheetId="3" r:id="rId2"/>
    <sheet name="Exo3 - Autres régressions" sheetId="6" r:id="rId3"/>
    <sheet name="Exo4 - Test de student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 a="1"/>
  <c r="F28" i="2" s="1"/>
  <c r="F7" i="8"/>
  <c r="F6" i="8"/>
  <c r="C7" i="8"/>
  <c r="C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<sst xmlns="http://schemas.openxmlformats.org/spreadsheetml/2006/main" count="105" uniqueCount="99">
  <si>
    <t>mois</t>
  </si>
  <si>
    <t>Quantité vendue</t>
  </si>
  <si>
    <t>dépense publicité</t>
  </si>
  <si>
    <t>Fabrication</t>
  </si>
  <si>
    <t>Prix Vente Produits</t>
  </si>
  <si>
    <t>Coût Production Global</t>
  </si>
  <si>
    <t>Qté Produits 1</t>
  </si>
  <si>
    <t>Qté Produits 2</t>
  </si>
  <si>
    <t>Qté Produits 3</t>
  </si>
  <si>
    <t>JEU DATA 1</t>
  </si>
  <si>
    <t>JEU DATA 2</t>
  </si>
  <si>
    <t>JEU DATA 3</t>
  </si>
  <si>
    <t>Groupe Vitamine</t>
  </si>
  <si>
    <t>élève 1</t>
  </si>
  <si>
    <t>élève 2</t>
  </si>
  <si>
    <t>élève 3</t>
  </si>
  <si>
    <t>élève 4</t>
  </si>
  <si>
    <t>élève 5</t>
  </si>
  <si>
    <t>élève 6</t>
  </si>
  <si>
    <t>élève 7</t>
  </si>
  <si>
    <t>élève 8</t>
  </si>
  <si>
    <t>élève 9</t>
  </si>
  <si>
    <t>élève 10</t>
  </si>
  <si>
    <t>élève 11</t>
  </si>
  <si>
    <t>élève 12</t>
  </si>
  <si>
    <t>élève 13</t>
  </si>
  <si>
    <t>élève 14</t>
  </si>
  <si>
    <t>élève 15</t>
  </si>
  <si>
    <t>élève 16</t>
  </si>
  <si>
    <t>élève 17</t>
  </si>
  <si>
    <t>élève 18</t>
  </si>
  <si>
    <t>élève 19</t>
  </si>
  <si>
    <t>élève 20</t>
  </si>
  <si>
    <t>élève 21</t>
  </si>
  <si>
    <t>élève 22</t>
  </si>
  <si>
    <t>élève 23</t>
  </si>
  <si>
    <t>élève 24</t>
  </si>
  <si>
    <t>élève 25</t>
  </si>
  <si>
    <t>élève 26</t>
  </si>
  <si>
    <t>élève 27</t>
  </si>
  <si>
    <t>élève 29</t>
  </si>
  <si>
    <t>élève 31</t>
  </si>
  <si>
    <t>élève 33</t>
  </si>
  <si>
    <t>élève 35</t>
  </si>
  <si>
    <t>élève 37</t>
  </si>
  <si>
    <t>élève 39</t>
  </si>
  <si>
    <t>élève 41</t>
  </si>
  <si>
    <t>élève 43</t>
  </si>
  <si>
    <t>élève 45</t>
  </si>
  <si>
    <t>élève 47</t>
  </si>
  <si>
    <t>élève 49</t>
  </si>
  <si>
    <t>élève 51</t>
  </si>
  <si>
    <t>élève 28</t>
  </si>
  <si>
    <t>élève 30</t>
  </si>
  <si>
    <t>élève 32</t>
  </si>
  <si>
    <t>élève 34</t>
  </si>
  <si>
    <t>élève 36</t>
  </si>
  <si>
    <t>élève 38</t>
  </si>
  <si>
    <t>élève 40</t>
  </si>
  <si>
    <t>Note</t>
  </si>
  <si>
    <t>Groupe test (sans vit)</t>
  </si>
  <si>
    <t>moyenne</t>
  </si>
  <si>
    <t>ecart type</t>
  </si>
  <si>
    <t>p.value test de student</t>
  </si>
  <si>
    <t>Tracer les points sur un graphique et effectuer une droite de régression à l'aide de la méthode des moindres carrés.</t>
  </si>
  <si>
    <t>Dans une régie publicitaire on cherche à savoir si le nombre d'exemplaire vendue d'un produit peut être établi à l'aide d'un graphique par rapport aux dépenses publicitaires.</t>
  </si>
  <si>
    <t>Qu'en déduisez vous ?</t>
  </si>
  <si>
    <t>Tracer jeu de données dans un graphique dédié et ajouter une régression pour savoir quelle régression est la plus probable.</t>
  </si>
  <si>
    <t>Avant l'examen, on fait un test en double aveugle en faisant prendre de la vitamine ou un placebo à des élèves.</t>
  </si>
  <si>
    <t>Tracer les graphiques correspondants aux notes sous forme de gaussienne ? Quel est l'effet des vitamines ?</t>
  </si>
  <si>
    <t>Déterminer la p-value à l'aide d'un test de student pour savoir si la différence est significative.</t>
  </si>
  <si>
    <t>Une usine fabrique 3 produits différents. On souhaiterait établir le coût par produit en fonction du coût global de la production.</t>
  </si>
  <si>
    <t>A l'aide de "l'analysis toolkit" d'excel et de la fonction droitereg, établissez une régression multiple.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</si>
  <si>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</si>
  <si>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</si>
  <si>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</si>
  <si>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</si>
  <si>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</si>
  <si>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</si>
  <si>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</si>
  <si>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</si>
  <si>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</si>
  <si>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</si>
  <si>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</si>
  <si>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</si>
  <si>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</si>
  <si>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</si>
  <si>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</si>
  <si>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</si>
  <si>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</si>
  <si>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</si>
  <si>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</si>
  <si>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</si>
  <si>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</si>
  <si>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</si>
  <si>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</si>
  <si>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Variable X 1</t>
  </si>
  <si>
    <t>Variable X 2</t>
  </si>
  <si>
    <t>Variable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</si>
</sst>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MJXc-TeX-main-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2" borderId="0" xfId="0" applyFill="1"/>
    <xf numFmtId="0" fontId="1" fillId="0" borderId="0" xfId="0" applyFont="1"/>
    <xf numFmtId="0" fontId="4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'Exo1 - regression simple'!$C$5</c:f>
              <c:strCache>
                <c:ptCount val="1"/>
                <c:pt idx="0">
                  <c:v>dépense publicité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012904636920387E-2"/>
                  <c:y val="-6.97841936424613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'Exo1 - regression simple'!$B$6:$B$29</c:f>
              <c:numCache>
                <c:formatCode>_-* #\ ##0\ _€_-;\-* #\ ##0\ _€_-;_-* "-"??\ _€_-;_-@_-</c:formatCode>
                <c:ptCount val="24"/>
                <c:pt idx="0">
                  <c:v>73959</c:v>
                </c:pt>
                <c:pt idx="1">
                  <c:v>71544</c:v>
                </c:pt>
                <c:pt idx="2">
                  <c:v>78587</c:v>
                </c:pt>
                <c:pt idx="3">
                  <c:v>80364</c:v>
                </c:pt>
                <c:pt idx="4">
                  <c:v>78771</c:v>
                </c:pt>
                <c:pt idx="5">
                  <c:v>71986</c:v>
                </c:pt>
                <c:pt idx="6">
                  <c:v>74885</c:v>
                </c:pt>
                <c:pt idx="7">
                  <c:v>73345</c:v>
                </c:pt>
                <c:pt idx="8">
                  <c:v>76659</c:v>
                </c:pt>
                <c:pt idx="9">
                  <c:v>71880</c:v>
                </c:pt>
                <c:pt idx="10">
                  <c:v>73598</c:v>
                </c:pt>
                <c:pt idx="11">
                  <c:v>74893</c:v>
                </c:pt>
                <c:pt idx="12">
                  <c:v>69003</c:v>
                </c:pt>
                <c:pt idx="13">
                  <c:v>78542</c:v>
                </c:pt>
                <c:pt idx="14">
                  <c:v>72543</c:v>
                </c:pt>
                <c:pt idx="15">
                  <c:v>74247</c:v>
                </c:pt>
                <c:pt idx="16">
                  <c:v>76253</c:v>
                </c:pt>
                <c:pt idx="17">
                  <c:v>72582</c:v>
                </c:pt>
                <c:pt idx="18">
                  <c:v>69022</c:v>
                </c:pt>
                <c:pt idx="19">
                  <c:v>76200</c:v>
                </c:pt>
                <c:pt idx="20">
                  <c:v>69701</c:v>
                </c:pt>
                <c:pt idx="21">
                  <c:v>77005</c:v>
                </c:pt>
                <c:pt idx="22">
                  <c:v>70987</c:v>
                </c:pt>
                <c:pt idx="23">
                  <c:v>75643</c:v>
                </c:pt>
              </c:numCache>
            </c:numRef>
          </c:xVal>
          <c:yVal>
            <c:numRef>
              <c:f>'Exo1 - regression simple'!$C$6:$C$29</c:f>
              <c:numCache>
                <c:formatCode>_-* #\ ##0\ _€_-;\-* #\ ##0\ _€_-;_-* "-"??\ _€_-;_-@_-</c:formatCode>
                <c:ptCount val="24"/>
                <c:pt idx="0">
                  <c:v>15371.800000000001</c:v>
                </c:pt>
                <c:pt idx="1">
                  <c:v>14768.800000000001</c:v>
                </c:pt>
                <c:pt idx="2">
                  <c:v>16517.400000000001</c:v>
                </c:pt>
                <c:pt idx="3">
                  <c:v>17072.8</c:v>
                </c:pt>
                <c:pt idx="4">
                  <c:v>16674.2</c:v>
                </c:pt>
                <c:pt idx="5">
                  <c:v>15277.2</c:v>
                </c:pt>
                <c:pt idx="6">
                  <c:v>15737</c:v>
                </c:pt>
                <c:pt idx="7">
                  <c:v>15609</c:v>
                </c:pt>
                <c:pt idx="8">
                  <c:v>16031.800000000001</c:v>
                </c:pt>
                <c:pt idx="9">
                  <c:v>14976</c:v>
                </c:pt>
                <c:pt idx="10">
                  <c:v>15299.6</c:v>
                </c:pt>
                <c:pt idx="11">
                  <c:v>15298.599999999999</c:v>
                </c:pt>
                <c:pt idx="12">
                  <c:v>14260.599999999999</c:v>
                </c:pt>
                <c:pt idx="13">
                  <c:v>15968.4</c:v>
                </c:pt>
                <c:pt idx="14">
                  <c:v>15428.599999999999</c:v>
                </c:pt>
                <c:pt idx="15">
                  <c:v>15269.400000000001</c:v>
                </c:pt>
                <c:pt idx="16">
                  <c:v>15470.599999999999</c:v>
                </c:pt>
                <c:pt idx="17">
                  <c:v>15336.400000000001</c:v>
                </c:pt>
                <c:pt idx="18">
                  <c:v>14464.400000000001</c:v>
                </c:pt>
                <c:pt idx="19">
                  <c:v>15500</c:v>
                </c:pt>
                <c:pt idx="20">
                  <c:v>14280.2</c:v>
                </c:pt>
                <c:pt idx="21">
                  <c:v>16221</c:v>
                </c:pt>
                <c:pt idx="22">
                  <c:v>14977.4</c:v>
                </c:pt>
                <c:pt idx="23">
                  <c:v>15568.599999999999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A-496E-B573-DD425E04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532256"/>
        <c:axId val="1982533216"/>
      </c:scatterChart>
      <c:valAx>
        <c:axId val="198253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2533216"/>
        <c:crosses val="autoZero"/>
        <c:crossBetween val="midCat"/>
      </c:valAx>
      <c:valAx>
        <c:axId val="198253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253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521804</xdr:colOff>
      <xdr:row>8</xdr:row>
      <xdr:rowOff>180009</xdr:rowOff>
    </xdr:from>
    <xdr:to>
      <xdr:col>11</xdr:col>
      <xdr:colOff>610152</xdr:colOff>
      <xdr:row>24</xdr:row>
      <xdr:rowOff>7731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2858E42-5A25-71FB-33CF-7788286BE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zoomScale="115" zoomScaleNormal="115" workbookViewId="0">
      <selection activeCell="O14" sqref="O14"/>
    </sheetView>
  </sheetViews>
  <sheetFormatPr baseColWidth="10" defaultColWidth="9.1796875" defaultRowHeight="14.5"/>
  <cols>
    <col min="2" max="2" width="17.1796875" customWidth="1"/>
    <col min="3" max="3" width="17.7265625" customWidth="1"/>
    <col min="4" max="4" width="13.81640625" customWidth="1"/>
  </cols>
  <sheetData>
    <row r="1" spans="1:13">
      <c r="A1" s="6" t="s">
        <v>65</v>
      </c>
    </row>
    <row r="2" spans="1:13">
      <c r="A2" s="6" t="s">
        <v>64</v>
      </c>
    </row>
    <row r="3" spans="1:13">
      <c r="A3" s="6" t="s">
        <v>66</v>
      </c>
    </row>
    <row r="5" spans="1:13">
      <c r="A5" s="1" t="s">
        <v>0</v>
      </c>
      <c r="B5" s="1" t="s">
        <v>1</v>
      </c>
      <c r="C5" s="1" t="s">
        <v>2</v>
      </c>
      <c r="M5" s="7">
        <v>17316</v>
      </c>
    </row>
    <row r="6" spans="1:13">
      <c r="A6">
        <v>1</v>
      </c>
      <c r="B6" s="3">
        <v>73959</v>
      </c>
      <c r="C6" s="4">
        <v>15371.800000000001</v>
      </c>
    </row>
    <row r="7" spans="1:13">
      <c r="A7">
        <v>2</v>
      </c>
      <c r="B7" s="3">
        <v>71544</v>
      </c>
      <c r="C7" s="4">
        <v>14768.800000000001</v>
      </c>
    </row>
    <row r="8" spans="1:13">
      <c r="A8">
        <v>3</v>
      </c>
      <c r="B8" s="3">
        <v>78587</v>
      </c>
      <c r="C8" s="4">
        <v>16517.400000000001</v>
      </c>
    </row>
    <row r="9" spans="1:13">
      <c r="A9">
        <v>4</v>
      </c>
      <c r="B9" s="3">
        <v>80364</v>
      </c>
      <c r="C9" s="4">
        <v>17072.8</v>
      </c>
    </row>
    <row r="10" spans="1:13">
      <c r="A10">
        <v>5</v>
      </c>
      <c r="B10" s="3">
        <v>78771</v>
      </c>
      <c r="C10" s="4">
        <v>16674.2</v>
      </c>
    </row>
    <row r="11" spans="1:13">
      <c r="A11">
        <v>6</v>
      </c>
      <c r="B11" s="3">
        <v>71986</v>
      </c>
      <c r="C11" s="4">
        <v>15277.2</v>
      </c>
    </row>
    <row r="12" spans="1:13">
      <c r="A12">
        <v>7</v>
      </c>
      <c r="B12" s="3">
        <v>74885</v>
      </c>
      <c r="C12" s="4">
        <v>15737</v>
      </c>
    </row>
    <row r="13" spans="1:13">
      <c r="A13">
        <v>8</v>
      </c>
      <c r="B13" s="3">
        <v>73345</v>
      </c>
      <c r="C13" s="4">
        <v>15609</v>
      </c>
    </row>
    <row r="14" spans="1:13">
      <c r="A14">
        <v>9</v>
      </c>
      <c r="B14" s="3">
        <v>76659</v>
      </c>
      <c r="C14" s="4">
        <v>16031.800000000001</v>
      </c>
    </row>
    <row r="15" spans="1:13">
      <c r="A15">
        <v>10</v>
      </c>
      <c r="B15" s="3">
        <v>71880</v>
      </c>
      <c r="C15" s="4">
        <v>14976</v>
      </c>
    </row>
    <row r="16" spans="1:13">
      <c r="A16">
        <v>11</v>
      </c>
      <c r="B16" s="3">
        <v>73598</v>
      </c>
      <c r="C16" s="4">
        <v>15299.6</v>
      </c>
    </row>
    <row r="17" spans="1:7">
      <c r="A17">
        <v>12</v>
      </c>
      <c r="B17" s="3">
        <v>74893</v>
      </c>
      <c r="C17" s="4">
        <v>15298.599999999999</v>
      </c>
    </row>
    <row r="18" spans="1:7">
      <c r="A18">
        <v>13</v>
      </c>
      <c r="B18" s="3">
        <v>69003</v>
      </c>
      <c r="C18" s="4">
        <v>14260.599999999999</v>
      </c>
    </row>
    <row r="19" spans="1:7">
      <c r="A19">
        <v>14</v>
      </c>
      <c r="B19" s="3">
        <v>78542</v>
      </c>
      <c r="C19" s="4">
        <v>15968.4</v>
      </c>
    </row>
    <row r="20" spans="1:7">
      <c r="A20">
        <v>15</v>
      </c>
      <c r="B20" s="3">
        <v>72543</v>
      </c>
      <c r="C20" s="4">
        <v>15428.599999999999</v>
      </c>
    </row>
    <row r="21" spans="1:7">
      <c r="A21">
        <v>16</v>
      </c>
      <c r="B21" s="3">
        <v>74247</v>
      </c>
      <c r="C21" s="4">
        <v>15269.400000000001</v>
      </c>
    </row>
    <row r="22" spans="1:7">
      <c r="A22">
        <v>17</v>
      </c>
      <c r="B22" s="3">
        <v>76253</v>
      </c>
      <c r="C22" s="4">
        <v>15470.599999999999</v>
      </c>
    </row>
    <row r="23" spans="1:7">
      <c r="A23">
        <v>18</v>
      </c>
      <c r="B23" s="3">
        <v>72582</v>
      </c>
      <c r="C23" s="4">
        <v>15336.400000000001</v>
      </c>
    </row>
    <row r="24" spans="1:7">
      <c r="A24">
        <v>19</v>
      </c>
      <c r="B24" s="3">
        <v>69022</v>
      </c>
      <c r="C24" s="4">
        <v>14464.400000000001</v>
      </c>
    </row>
    <row r="25" spans="1:7">
      <c r="A25">
        <v>20</v>
      </c>
      <c r="B25" s="3">
        <v>76200</v>
      </c>
      <c r="C25" s="4">
        <v>15500</v>
      </c>
    </row>
    <row r="26" spans="1:7">
      <c r="A26">
        <v>21</v>
      </c>
      <c r="B26" s="3">
        <v>69701</v>
      </c>
      <c r="C26" s="4">
        <v>14280.2</v>
      </c>
    </row>
    <row r="27" spans="1:7">
      <c r="A27">
        <v>22</v>
      </c>
      <c r="B27" s="3">
        <v>77005</v>
      </c>
      <c r="C27" s="4">
        <v>16221</v>
      </c>
    </row>
    <row r="28" spans="1:7">
      <c r="A28">
        <v>23</v>
      </c>
      <c r="B28" s="3">
        <v>70987</v>
      </c>
      <c r="C28" s="4">
        <v>14977.4</v>
      </c>
      <c r="F28" cm="1">
        <f t="array" ref="F28:G28">LINEST(B6:B29,C6:C29,TRUE)</f>
        <v>4.2221321163204539</v>
      </c>
      <c r="G28">
        <v>8924.3507944722078</v>
      </c>
    </row>
    <row r="29" spans="1:7">
      <c r="A29">
        <v>24</v>
      </c>
      <c r="B29" s="3">
        <v>75643</v>
      </c>
      <c r="C29" s="4">
        <v>15568.599999999999</v>
      </c>
    </row>
    <row r="31" spans="1:7">
      <c r="C31" s="2"/>
    </row>
    <row r="32" spans="1:7">
      <c r="C32" s="2"/>
    </row>
    <row r="33" spans="3:3">
      <c r="C33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5"/>
  <sheetViews>
    <sheetView tabSelected="1" topLeftCell="A4" zoomScale="90" zoomScaleNormal="90" workbookViewId="0">
      <selection activeCell="C28" sqref="C28"/>
    </sheetView>
  </sheetViews>
  <sheetFormatPr baseColWidth="10" defaultColWidth="9.1796875" defaultRowHeight="14.5"/>
  <cols>
    <col min="2" max="2" width="8.36328125" customWidth="1"/>
    <col min="3" max="5" width="16.7265625" customWidth="1"/>
    <col min="6" max="6" width="20.1796875" customWidth="1"/>
    <col min="7" max="7" width="10" bestFit="1" customWidth="1"/>
    <col min="9" max="9" width="13.36328125" customWidth="1"/>
    <col min="10" max="10" width="18.6328125" customWidth="1"/>
    <col min="11" max="11" width="19" customWidth="1"/>
    <col min="12" max="12" width="14.453125" customWidth="1"/>
    <col min="13" max="14" width="13.6328125" customWidth="1"/>
    <col min="15" max="15" width="13.1796875" customWidth="1"/>
    <col min="16" max="16" width="14.453125" customWidth="1"/>
    <col min="17" max="17" width="14" customWidth="1"/>
  </cols>
  <sheetData>
    <row r="2" spans="1:14">
      <c r="A2" s="6" t="s">
        <v>71</v>
      </c>
    </row>
    <row r="3" spans="1:14">
      <c r="A3" s="6" t="s">
        <v>72</v>
      </c>
    </row>
    <row r="5" spans="1:14">
      <c r="D5" t="s">
        <v>3</v>
      </c>
    </row>
    <row r="6" spans="1:14">
      <c r="B6" s="1" t="s">
        <v>0</v>
      </c>
      <c r="C6" s="1" t="s">
        <v>6</v>
      </c>
      <c r="D6" s="1" t="s">
        <v>7</v>
      </c>
      <c r="E6" s="1" t="s">
        <v>8</v>
      </c>
      <c r="F6" s="1" t="s">
        <v>5</v>
      </c>
      <c r="I6" t="s">
        <v>73</v>
      </c>
    </row>
    <row r="7" spans="1:14" ht="15" thickBot="1">
      <c r="B7">
        <v>1</v>
      </c>
      <c r="C7" s="3">
        <v>2980</v>
      </c>
      <c r="D7" s="3">
        <v>1880</v>
      </c>
      <c r="E7" s="3">
        <v>2000</v>
      </c>
      <c r="F7" s="4">
        <v>316000</v>
      </c>
    </row>
    <row r="8" spans="1:14">
      <c r="B8">
        <v>2</v>
      </c>
      <c r="C8" s="3">
        <v>2610</v>
      </c>
      <c r="D8" s="3">
        <v>2060</v>
      </c>
      <c r="E8" s="3">
        <v>1340</v>
      </c>
      <c r="F8" s="4">
        <v>274500</v>
      </c>
      <c r="I8" s="11" t="s">
        <v>74</v>
      </c>
      <c r="J8" s="11"/>
    </row>
    <row r="9" spans="1:14">
      <c r="B9">
        <v>3</v>
      </c>
      <c r="C9" s="3">
        <v>2700</v>
      </c>
      <c r="D9" s="3">
        <v>2800</v>
      </c>
      <c r="E9" s="3">
        <v>1000</v>
      </c>
      <c r="F9" s="4">
        <v>301500</v>
      </c>
      <c r="I9" s="8" t="s">
        <v>75</v>
      </c>
      <c r="J9" s="8">
        <v>0.99574258527833248</v>
      </c>
    </row>
    <row r="10" spans="1:14">
      <c r="B10">
        <v>4</v>
      </c>
      <c r="C10" s="3">
        <v>2900</v>
      </c>
      <c r="D10" s="3">
        <v>2100</v>
      </c>
      <c r="E10" s="3">
        <v>2300</v>
      </c>
      <c r="F10" s="4">
        <v>328000</v>
      </c>
      <c r="I10" s="8" t="s">
        <v>76</v>
      </c>
      <c r="J10" s="8">
        <v>0.99150329613677723</v>
      </c>
    </row>
    <row r="11" spans="1:14">
      <c r="B11">
        <v>5</v>
      </c>
      <c r="C11" s="3">
        <v>3700</v>
      </c>
      <c r="D11" s="3">
        <v>930</v>
      </c>
      <c r="E11" s="3">
        <v>1040</v>
      </c>
      <c r="F11" s="4">
        <v>252500</v>
      </c>
      <c r="I11" s="8" t="s">
        <v>76</v>
      </c>
      <c r="J11" s="8">
        <v>0.98831703218806877</v>
      </c>
    </row>
    <row r="12" spans="1:14">
      <c r="B12">
        <v>6</v>
      </c>
      <c r="C12" s="3">
        <v>1600</v>
      </c>
      <c r="D12" s="3">
        <v>2650</v>
      </c>
      <c r="E12" s="3">
        <v>2950</v>
      </c>
      <c r="F12" s="4">
        <v>327000</v>
      </c>
      <c r="I12" s="8" t="s">
        <v>77</v>
      </c>
      <c r="J12" s="8">
        <v>4707.6501981254114</v>
      </c>
    </row>
    <row r="13" spans="1:14" ht="15" thickBot="1">
      <c r="B13">
        <v>7</v>
      </c>
      <c r="C13" s="3">
        <v>2500</v>
      </c>
      <c r="D13" s="3">
        <v>3350</v>
      </c>
      <c r="E13" s="3">
        <v>3100</v>
      </c>
      <c r="F13" s="4">
        <v>405000</v>
      </c>
      <c r="I13" s="9" t="s">
        <v>78</v>
      </c>
      <c r="J13" s="9">
        <v>12</v>
      </c>
    </row>
    <row r="14" spans="1:14">
      <c r="B14">
        <v>8</v>
      </c>
      <c r="C14" s="3">
        <v>2750</v>
      </c>
      <c r="D14" s="3">
        <v>3600</v>
      </c>
      <c r="E14" s="3">
        <v>2070</v>
      </c>
      <c r="F14" s="4">
        <v>383500</v>
      </c>
    </row>
    <row r="15" spans="1:14" ht="15" thickBot="1">
      <c r="B15">
        <v>9</v>
      </c>
      <c r="C15" s="3">
        <v>3230</v>
      </c>
      <c r="D15" s="3">
        <v>1500</v>
      </c>
      <c r="E15" s="3">
        <v>2280</v>
      </c>
      <c r="F15" s="4">
        <v>316000</v>
      </c>
      <c r="I15" t="s">
        <v>79</v>
      </c>
    </row>
    <row r="16" spans="1:14">
      <c r="B16">
        <v>10</v>
      </c>
      <c r="C16" s="3">
        <v>3240</v>
      </c>
      <c r="D16" s="3">
        <v>1250</v>
      </c>
      <c r="E16" s="3">
        <v>1360</v>
      </c>
      <c r="F16" s="4">
        <v>276500</v>
      </c>
      <c r="I16" s="10"/>
      <c r="J16" s="10" t="s">
        <v>84</v>
      </c>
      <c r="K16" s="10" t="s">
        <v>85</v>
      </c>
      <c r="L16" s="10" t="s">
        <v>86</v>
      </c>
      <c r="M16" s="10" t="s">
        <v>87</v>
      </c>
      <c r="N16" s="10" t="s">
        <v>88</v>
      </c>
    </row>
    <row r="17" spans="2:17">
      <c r="B17">
        <v>11</v>
      </c>
      <c r="C17" s="3">
        <v>2810</v>
      </c>
      <c r="D17" s="3">
        <v>2100</v>
      </c>
      <c r="E17" s="3">
        <v>1540</v>
      </c>
      <c r="F17" s="4">
        <v>291500</v>
      </c>
      <c r="I17" s="8" t="s">
        <v>80</v>
      </c>
      <c r="J17" s="8">
        <v>3</v>
      </c>
      <c r="K17" s="8">
        <v>20689120903.563385</v>
      </c>
      <c r="L17" s="8">
        <v>6896373634.5211287</v>
      </c>
      <c r="M17" s="8">
        <v>311.18052744458276</v>
      </c>
      <c r="N17" s="8">
        <v>1.2782662964546732E-8</v>
      </c>
    </row>
    <row r="18" spans="2:17">
      <c r="B18">
        <v>12</v>
      </c>
      <c r="C18" s="3">
        <v>2600</v>
      </c>
      <c r="D18" s="3">
        <v>2270</v>
      </c>
      <c r="E18" s="3">
        <v>2080</v>
      </c>
      <c r="F18" s="4">
        <v>315000</v>
      </c>
      <c r="I18" s="8" t="s">
        <v>81</v>
      </c>
      <c r="J18" s="8">
        <v>8</v>
      </c>
      <c r="K18" s="8">
        <v>177295763.1032818</v>
      </c>
      <c r="L18" s="8">
        <v>22161970.387910224</v>
      </c>
      <c r="M18" s="8"/>
      <c r="N18" s="8"/>
    </row>
    <row r="19" spans="2:17" ht="15" thickBot="1">
      <c r="I19" s="9" t="s">
        <v>82</v>
      </c>
      <c r="J19" s="9">
        <v>11</v>
      </c>
      <c r="K19" s="9">
        <v>20866416666.666668</v>
      </c>
      <c r="L19" s="9"/>
      <c r="M19" s="9"/>
      <c r="N19" s="9"/>
    </row>
    <row r="20" spans="2:17" ht="15" thickBot="1">
      <c r="B20" t="s">
        <v>4</v>
      </c>
      <c r="C20" s="3">
        <v>50</v>
      </c>
      <c r="D20">
        <v>53</v>
      </c>
      <c r="E20">
        <v>58</v>
      </c>
    </row>
    <row r="21" spans="2:17">
      <c r="I21" s="10"/>
      <c r="J21" s="10" t="s">
        <v>89</v>
      </c>
      <c r="K21" s="10" t="s">
        <v>77</v>
      </c>
      <c r="L21" s="10" t="s">
        <v>90</v>
      </c>
      <c r="M21" s="10" t="s">
        <v>91</v>
      </c>
      <c r="N21" s="10" t="s">
        <v>92</v>
      </c>
      <c r="O21" s="10" t="s">
        <v>93</v>
      </c>
      <c r="P21" s="10" t="s">
        <v>94</v>
      </c>
      <c r="Q21" s="10" t="s">
        <v>95</v>
      </c>
    </row>
    <row r="22" spans="2:17">
      <c r="I22" s="8" t="s">
        <v>83</v>
      </c>
      <c r="J22" s="8">
        <v>14458.04584734104</v>
      </c>
      <c r="K22" s="8">
        <v>16822.737258128731</v>
      </c>
      <c r="L22" s="8">
        <v>0.85943480097776159</v>
      </c>
      <c r="M22" s="8">
        <v>0.41511005266684597</v>
      </c>
      <c r="N22" s="8">
        <v>-24335.255835357028</v>
      </c>
      <c r="O22" s="8">
        <v>53251.347530039107</v>
      </c>
      <c r="P22" s="8">
        <v>-24335.255835357028</v>
      </c>
      <c r="Q22" s="8">
        <v>53251.347530039107</v>
      </c>
    </row>
    <row r="23" spans="2:17">
      <c r="B23" s="1"/>
      <c r="C23" s="1"/>
      <c r="D23" s="1"/>
      <c r="E23" s="1"/>
      <c r="F23" s="1"/>
      <c r="I23" s="8" t="s">
        <v>96</v>
      </c>
      <c r="J23" s="8">
        <v>42.699323363423034</v>
      </c>
      <c r="K23" s="8">
        <v>4.0477114302220114</v>
      </c>
      <c r="L23" s="8">
        <v>10.549003825868347</v>
      </c>
      <c r="M23" s="8">
        <v>5.6875166738566129E-6</v>
      </c>
      <c r="N23" s="8">
        <v>33.3652840672179</v>
      </c>
      <c r="O23" s="8">
        <v>52.033362659628168</v>
      </c>
      <c r="P23" s="8">
        <v>33.3652840672179</v>
      </c>
      <c r="Q23" s="8">
        <v>52.033362659628168</v>
      </c>
    </row>
    <row r="24" spans="2:17">
      <c r="C24" s="3"/>
      <c r="D24" s="3"/>
      <c r="E24" s="3"/>
      <c r="F24" s="4"/>
      <c r="G24" s="4"/>
      <c r="I24" s="8" t="s">
        <v>97</v>
      </c>
      <c r="J24" s="8">
        <v>45.796204426354208</v>
      </c>
      <c r="K24" s="8">
        <v>2.3940956255411416</v>
      </c>
      <c r="L24" s="8">
        <v>19.128811705673957</v>
      </c>
      <c r="M24" s="8">
        <v>5.7795499418084351E-8</v>
      </c>
      <c r="N24" s="8">
        <v>40.275410013782128</v>
      </c>
      <c r="O24" s="8">
        <v>51.316998838926288</v>
      </c>
      <c r="P24" s="8">
        <v>40.275410013782128</v>
      </c>
      <c r="Q24" s="8">
        <v>51.316998838926288</v>
      </c>
    </row>
    <row r="25" spans="2:17" ht="15" thickBot="1">
      <c r="C25" s="3"/>
      <c r="D25" s="3"/>
      <c r="E25" s="3"/>
      <c r="F25" s="4"/>
      <c r="G25" s="4"/>
      <c r="I25" s="9" t="s">
        <v>98</v>
      </c>
      <c r="J25" s="9">
        <v>41.839147575867379</v>
      </c>
      <c r="K25" s="9">
        <v>2.589104186246848</v>
      </c>
      <c r="L25" s="9">
        <v>16.159700253900247</v>
      </c>
      <c r="M25" s="9">
        <v>2.1605361169917022E-7</v>
      </c>
      <c r="N25" s="9">
        <v>35.868662615907731</v>
      </c>
      <c r="O25" s="9">
        <v>47.809632535827028</v>
      </c>
      <c r="P25" s="9">
        <v>35.868662615907731</v>
      </c>
      <c r="Q25" s="9">
        <v>47.809632535827028</v>
      </c>
    </row>
    <row r="26" spans="2:17">
      <c r="C26" s="3"/>
      <c r="D26" s="3"/>
      <c r="E26" s="3"/>
      <c r="F26" s="4"/>
      <c r="G26" s="4"/>
    </row>
    <row r="27" spans="2:17">
      <c r="C27" s="3"/>
      <c r="D27" s="3"/>
      <c r="E27" s="3"/>
      <c r="F27" s="4"/>
      <c r="G27" s="4"/>
    </row>
    <row r="28" spans="2:17">
      <c r="C28" s="3"/>
      <c r="D28" s="3"/>
      <c r="E28" s="3"/>
      <c r="F28" s="4"/>
      <c r="G28" s="4"/>
    </row>
    <row r="29" spans="2:17">
      <c r="C29" s="3"/>
      <c r="D29" s="3"/>
      <c r="E29" s="3"/>
      <c r="F29" s="4"/>
      <c r="G29" s="4"/>
    </row>
    <row r="30" spans="2:17">
      <c r="C30" s="3"/>
      <c r="D30" s="3"/>
      <c r="E30" s="3"/>
      <c r="F30" s="4"/>
      <c r="G30" s="4"/>
    </row>
    <row r="31" spans="2:17">
      <c r="C31" s="3"/>
      <c r="D31" s="3"/>
      <c r="E31" s="3"/>
      <c r="F31" s="4"/>
      <c r="G31" s="4"/>
    </row>
    <row r="32" spans="2:17">
      <c r="C32" s="3"/>
      <c r="D32" s="3"/>
      <c r="E32" s="3"/>
      <c r="F32" s="4"/>
      <c r="G32" s="4"/>
    </row>
    <row r="33" spans="3:7">
      <c r="C33" s="3"/>
      <c r="D33" s="3"/>
      <c r="E33" s="3"/>
      <c r="F33" s="4"/>
      <c r="G33" s="4"/>
    </row>
    <row r="34" spans="3:7">
      <c r="C34" s="3"/>
      <c r="D34" s="3"/>
      <c r="E34" s="3"/>
      <c r="F34" s="4"/>
      <c r="G34" s="4"/>
    </row>
    <row r="35" spans="3:7">
      <c r="C35" s="3"/>
      <c r="D35" s="3"/>
      <c r="E35" s="3"/>
      <c r="F35" s="4"/>
      <c r="G3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1922-2ED1-4C68-9D22-F2487185E2EA}">
  <dimension ref="A1:C22"/>
  <sheetViews>
    <sheetView zoomScale="86" workbookViewId="0">
      <selection activeCell="G31" sqref="G31"/>
    </sheetView>
  </sheetViews>
  <sheetFormatPr baseColWidth="10" defaultRowHeight="14.5"/>
  <sheetData>
    <row r="1" spans="1:3">
      <c r="A1" s="6" t="s">
        <v>67</v>
      </c>
    </row>
    <row r="3" spans="1:3">
      <c r="B3" t="s">
        <v>9</v>
      </c>
    </row>
    <row r="4" spans="1:3">
      <c r="B4">
        <v>1</v>
      </c>
      <c r="C4">
        <v>1</v>
      </c>
    </row>
    <row r="5" spans="1:3">
      <c r="B5">
        <v>2</v>
      </c>
      <c r="C5">
        <v>1.6020599913279625</v>
      </c>
    </row>
    <row r="6" spans="1:3">
      <c r="B6">
        <v>3</v>
      </c>
      <c r="C6">
        <v>1.9542425094393248</v>
      </c>
    </row>
    <row r="7" spans="1:3">
      <c r="B7">
        <v>4</v>
      </c>
      <c r="C7">
        <v>2.204119982655925</v>
      </c>
    </row>
    <row r="8" spans="1:3">
      <c r="B8">
        <v>5</v>
      </c>
      <c r="C8">
        <v>2.3979400086720375</v>
      </c>
    </row>
    <row r="10" spans="1:3">
      <c r="B10" t="s">
        <v>10</v>
      </c>
    </row>
    <row r="11" spans="1:3">
      <c r="B11">
        <v>1</v>
      </c>
      <c r="C11">
        <v>33</v>
      </c>
    </row>
    <row r="12" spans="1:3">
      <c r="B12">
        <v>2</v>
      </c>
      <c r="C12">
        <v>47</v>
      </c>
    </row>
    <row r="13" spans="1:3">
      <c r="B13">
        <v>3</v>
      </c>
      <c r="C13">
        <v>85</v>
      </c>
    </row>
    <row r="14" spans="1:3">
      <c r="B14">
        <v>4</v>
      </c>
      <c r="C14">
        <v>188</v>
      </c>
    </row>
    <row r="15" spans="1:3">
      <c r="B15">
        <v>5</v>
      </c>
      <c r="C15">
        <v>470</v>
      </c>
    </row>
    <row r="17" spans="2:3">
      <c r="B17" t="s">
        <v>11</v>
      </c>
    </row>
    <row r="18" spans="2:3">
      <c r="B18">
        <v>1</v>
      </c>
      <c r="C18">
        <v>11</v>
      </c>
    </row>
    <row r="19" spans="2:3">
      <c r="B19">
        <v>2</v>
      </c>
      <c r="C19">
        <v>5</v>
      </c>
    </row>
    <row r="20" spans="2:3">
      <c r="B20">
        <v>3</v>
      </c>
      <c r="C20">
        <v>5</v>
      </c>
    </row>
    <row r="21" spans="2:3">
      <c r="B21">
        <v>4</v>
      </c>
      <c r="C21">
        <v>11</v>
      </c>
    </row>
    <row r="22" spans="2:3">
      <c r="B22">
        <v>5</v>
      </c>
      <c r="C22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059B-ED5F-418C-8A32-989407D2E3E2}">
  <dimension ref="A2:F38"/>
  <sheetViews>
    <sheetView workbookViewId="0">
      <selection activeCell="I26" sqref="I26"/>
    </sheetView>
  </sheetViews>
  <sheetFormatPr baseColWidth="10" defaultRowHeight="14.5"/>
  <cols>
    <col min="1" max="1" width="11.08984375" customWidth="1"/>
    <col min="2" max="2" width="18.1796875" customWidth="1"/>
    <col min="3" max="4" width="6.90625" customWidth="1"/>
    <col min="5" max="5" width="18.36328125" customWidth="1"/>
    <col min="6" max="6" width="6.26953125" customWidth="1"/>
    <col min="8" max="8" width="7.08984375" customWidth="1"/>
    <col min="9" max="10" width="18.26953125" customWidth="1"/>
    <col min="11" max="11" width="20.26953125" customWidth="1"/>
  </cols>
  <sheetData>
    <row r="2" spans="1:6">
      <c r="A2" s="6" t="s">
        <v>68</v>
      </c>
    </row>
    <row r="3" spans="1:6">
      <c r="A3" s="6" t="s">
        <v>69</v>
      </c>
    </row>
    <row r="4" spans="1:6">
      <c r="A4" s="6" t="s">
        <v>70</v>
      </c>
    </row>
    <row r="6" spans="1:6">
      <c r="B6" t="s">
        <v>61</v>
      </c>
      <c r="C6">
        <f>AVERAGE(C10:C35)</f>
        <v>11</v>
      </c>
      <c r="E6" t="s">
        <v>61</v>
      </c>
      <c r="F6">
        <f>AVERAGE(F10:F35)</f>
        <v>10.050000000000001</v>
      </c>
    </row>
    <row r="7" spans="1:6">
      <c r="B7" t="s">
        <v>62</v>
      </c>
      <c r="C7">
        <f>_xlfn.STDEV.P(C10:C35)</f>
        <v>5.0914709979608963</v>
      </c>
      <c r="E7" t="s">
        <v>62</v>
      </c>
      <c r="F7">
        <f>_xlfn.STDEV.P(F10:F35)</f>
        <v>4.1530109559210171</v>
      </c>
    </row>
    <row r="9" spans="1:6">
      <c r="B9" t="s">
        <v>12</v>
      </c>
      <c r="C9" t="s">
        <v>59</v>
      </c>
      <c r="E9" t="s">
        <v>60</v>
      </c>
      <c r="F9" t="s">
        <v>59</v>
      </c>
    </row>
    <row r="10" spans="1:6">
      <c r="B10" t="s">
        <v>13</v>
      </c>
      <c r="C10">
        <v>4</v>
      </c>
      <c r="E10" t="s">
        <v>14</v>
      </c>
      <c r="F10">
        <v>8</v>
      </c>
    </row>
    <row r="11" spans="1:6">
      <c r="B11" t="s">
        <v>15</v>
      </c>
      <c r="C11">
        <v>8</v>
      </c>
      <c r="E11" t="s">
        <v>16</v>
      </c>
      <c r="F11">
        <v>18</v>
      </c>
    </row>
    <row r="12" spans="1:6">
      <c r="B12" t="s">
        <v>17</v>
      </c>
      <c r="C12">
        <v>10</v>
      </c>
      <c r="E12" t="s">
        <v>18</v>
      </c>
      <c r="F12">
        <v>1</v>
      </c>
    </row>
    <row r="13" spans="1:6">
      <c r="B13" t="s">
        <v>19</v>
      </c>
      <c r="C13">
        <v>1</v>
      </c>
      <c r="E13" t="s">
        <v>20</v>
      </c>
      <c r="F13">
        <v>4</v>
      </c>
    </row>
    <row r="14" spans="1:6">
      <c r="B14" t="s">
        <v>21</v>
      </c>
      <c r="C14">
        <v>18</v>
      </c>
      <c r="E14" t="s">
        <v>22</v>
      </c>
      <c r="F14">
        <v>5</v>
      </c>
    </row>
    <row r="15" spans="1:6">
      <c r="B15" t="s">
        <v>23</v>
      </c>
      <c r="C15">
        <v>5</v>
      </c>
      <c r="E15" t="s">
        <v>24</v>
      </c>
      <c r="F15">
        <v>12</v>
      </c>
    </row>
    <row r="16" spans="1:6">
      <c r="B16" t="s">
        <v>25</v>
      </c>
      <c r="C16">
        <v>9</v>
      </c>
      <c r="E16" t="s">
        <v>26</v>
      </c>
      <c r="F16">
        <v>8</v>
      </c>
    </row>
    <row r="17" spans="2:6">
      <c r="B17" t="s">
        <v>27</v>
      </c>
      <c r="C17">
        <v>11</v>
      </c>
      <c r="E17" t="s">
        <v>28</v>
      </c>
      <c r="F17">
        <v>9</v>
      </c>
    </row>
    <row r="18" spans="2:6">
      <c r="B18" t="s">
        <v>29</v>
      </c>
      <c r="C18">
        <v>13</v>
      </c>
      <c r="E18" t="s">
        <v>30</v>
      </c>
      <c r="F18">
        <v>7</v>
      </c>
    </row>
    <row r="19" spans="2:6">
      <c r="B19" t="s">
        <v>31</v>
      </c>
      <c r="C19">
        <v>14</v>
      </c>
      <c r="E19" t="s">
        <v>32</v>
      </c>
      <c r="F19">
        <v>14</v>
      </c>
    </row>
    <row r="20" spans="2:6">
      <c r="B20" t="s">
        <v>33</v>
      </c>
      <c r="C20">
        <v>9</v>
      </c>
      <c r="E20" t="s">
        <v>34</v>
      </c>
      <c r="F20">
        <v>15</v>
      </c>
    </row>
    <row r="21" spans="2:6">
      <c r="B21" t="s">
        <v>35</v>
      </c>
      <c r="C21">
        <v>8</v>
      </c>
      <c r="E21" t="s">
        <v>36</v>
      </c>
      <c r="F21">
        <v>16</v>
      </c>
    </row>
    <row r="22" spans="2:6">
      <c r="B22" t="s">
        <v>37</v>
      </c>
      <c r="C22">
        <v>5</v>
      </c>
      <c r="E22" t="s">
        <v>38</v>
      </c>
      <c r="F22">
        <v>12</v>
      </c>
    </row>
    <row r="23" spans="2:6">
      <c r="B23" t="s">
        <v>39</v>
      </c>
      <c r="C23">
        <v>15</v>
      </c>
      <c r="E23" t="s">
        <v>52</v>
      </c>
      <c r="F23">
        <v>13</v>
      </c>
    </row>
    <row r="24" spans="2:6">
      <c r="B24" t="s">
        <v>40</v>
      </c>
      <c r="C24">
        <v>20</v>
      </c>
      <c r="E24" t="s">
        <v>53</v>
      </c>
      <c r="F24">
        <v>9</v>
      </c>
    </row>
    <row r="25" spans="2:6">
      <c r="B25" t="s">
        <v>41</v>
      </c>
      <c r="C25">
        <v>20</v>
      </c>
      <c r="E25" t="s">
        <v>54</v>
      </c>
      <c r="F25">
        <v>10</v>
      </c>
    </row>
    <row r="26" spans="2:6">
      <c r="B26" t="s">
        <v>42</v>
      </c>
      <c r="C26">
        <v>19</v>
      </c>
      <c r="E26" t="s">
        <v>55</v>
      </c>
      <c r="F26">
        <v>10</v>
      </c>
    </row>
    <row r="27" spans="2:6">
      <c r="B27" t="s">
        <v>43</v>
      </c>
      <c r="C27">
        <v>16</v>
      </c>
      <c r="E27" t="s">
        <v>56</v>
      </c>
      <c r="F27">
        <v>11</v>
      </c>
    </row>
    <row r="28" spans="2:6">
      <c r="B28" t="s">
        <v>44</v>
      </c>
      <c r="C28">
        <v>5</v>
      </c>
      <c r="E28" t="s">
        <v>57</v>
      </c>
      <c r="F28">
        <v>13</v>
      </c>
    </row>
    <row r="29" spans="2:6">
      <c r="B29" t="s">
        <v>45</v>
      </c>
      <c r="C29">
        <v>6</v>
      </c>
      <c r="E29" t="s">
        <v>58</v>
      </c>
      <c r="F29">
        <v>6</v>
      </c>
    </row>
    <row r="30" spans="2:6">
      <c r="B30" t="s">
        <v>46</v>
      </c>
      <c r="C30">
        <v>8</v>
      </c>
    </row>
    <row r="31" spans="2:6">
      <c r="B31" t="s">
        <v>47</v>
      </c>
      <c r="C31">
        <v>15</v>
      </c>
    </row>
    <row r="32" spans="2:6">
      <c r="B32" t="s">
        <v>48</v>
      </c>
      <c r="C32">
        <v>12</v>
      </c>
    </row>
    <row r="33" spans="2:3">
      <c r="B33" t="s">
        <v>49</v>
      </c>
      <c r="C33">
        <v>14</v>
      </c>
    </row>
    <row r="34" spans="2:3">
      <c r="B34" t="s">
        <v>50</v>
      </c>
      <c r="C34">
        <v>10</v>
      </c>
    </row>
    <row r="35" spans="2:3">
      <c r="B35" t="s">
        <v>51</v>
      </c>
      <c r="C35">
        <v>11</v>
      </c>
    </row>
    <row r="37" spans="2:3">
      <c r="B37" t="s">
        <v>63</v>
      </c>
    </row>
    <row r="38" spans="2:3">
      <c r="B38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Exo1 - regression simple</vt:lpstr>
      <vt:lpstr>Exo2. regression multiple</vt:lpstr>
      <vt:lpstr>Exo3 - Autres régressions</vt:lpstr>
      <vt:lpstr>Exo4 - Test de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2017-01-05T01:51:08Z</dcterms:created>
  <dcterms:modified xsi:type="dcterms:W3CDTF">2025-12-02T11:00:54Z</dcterms:modified>
</cp:coreProperties>
</file>